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45" windowWidth="22575" windowHeight="11145"/>
  </bookViews>
  <sheets>
    <sheet name="ダミーOpp登録依頼" sheetId="1" r:id="rId1"/>
  </sheets>
  <calcPr calcId="125725"/>
</workbook>
</file>

<file path=xl/calcChain.xml><?xml version="1.0" encoding="utf-8"?>
<calcChain xmlns="http://schemas.openxmlformats.org/spreadsheetml/2006/main">
  <c r="D57" i="1"/>
  <c r="C57"/>
  <c r="B57"/>
  <c r="C56"/>
  <c r="D56" s="1"/>
  <c r="B56"/>
  <c r="D55"/>
  <c r="C55"/>
  <c r="B55"/>
  <c r="D54"/>
  <c r="C54"/>
  <c r="B54"/>
  <c r="D53"/>
  <c r="C53"/>
  <c r="B53"/>
  <c r="AV48"/>
  <c r="AU48"/>
  <c r="AP48"/>
  <c r="AJ48"/>
  <c r="M48"/>
  <c r="L48"/>
  <c r="K48"/>
  <c r="I48"/>
  <c r="H48"/>
  <c r="F48"/>
  <c r="E48"/>
  <c r="D48"/>
  <c r="AV47"/>
  <c r="AU47"/>
  <c r="AP47"/>
  <c r="AJ47"/>
  <c r="M47"/>
  <c r="L47"/>
  <c r="K47"/>
  <c r="I47"/>
  <c r="H47"/>
  <c r="F47"/>
  <c r="E47"/>
  <c r="D47"/>
  <c r="AV46"/>
  <c r="AU46"/>
  <c r="AP46"/>
  <c r="AJ46"/>
  <c r="M46"/>
  <c r="L46"/>
  <c r="K46"/>
  <c r="I46"/>
  <c r="H46"/>
  <c r="F46"/>
  <c r="E46"/>
  <c r="D46"/>
  <c r="AV45"/>
  <c r="AU45"/>
  <c r="AP45"/>
  <c r="AJ45"/>
  <c r="M45"/>
  <c r="L45"/>
  <c r="K45"/>
  <c r="I45"/>
  <c r="H45"/>
  <c r="F45"/>
  <c r="E45"/>
  <c r="D45"/>
  <c r="AV44"/>
  <c r="AU44"/>
  <c r="AP44"/>
  <c r="AJ44"/>
  <c r="M44"/>
  <c r="L44"/>
  <c r="K44"/>
  <c r="I44"/>
  <c r="H44"/>
  <c r="F44"/>
  <c r="E44"/>
  <c r="D44"/>
</calcChain>
</file>

<file path=xl/sharedStrings.xml><?xml version="1.0" encoding="utf-8"?>
<sst xmlns="http://schemas.openxmlformats.org/spreadsheetml/2006/main" count="259" uniqueCount="190">
  <si>
    <t>マスタテーブル</t>
  </si>
  <si>
    <t>FCST_STATUS_LIST</t>
    <phoneticPr fontId="3"/>
  </si>
  <si>
    <t>CONTRACT_LIST</t>
  </si>
  <si>
    <t>STATUS_NAME</t>
  </si>
  <si>
    <t>STATUS_ID</t>
    <phoneticPr fontId="3"/>
  </si>
  <si>
    <t>FCST_RATE</t>
  </si>
  <si>
    <t>SORT_NUMBER</t>
  </si>
  <si>
    <t>CONTRACT_ID</t>
    <phoneticPr fontId="3"/>
  </si>
  <si>
    <t>CONTRACT_NAME</t>
    <phoneticPr fontId="3"/>
  </si>
  <si>
    <t>SORT_NUMBER</t>
    <phoneticPr fontId="3"/>
  </si>
  <si>
    <t>START_DATE</t>
    <phoneticPr fontId="3"/>
  </si>
  <si>
    <t>END_DATE</t>
    <phoneticPr fontId="3"/>
  </si>
  <si>
    <t>Prospect</t>
  </si>
  <si>
    <t>1</t>
  </si>
  <si>
    <t>TM</t>
  </si>
  <si>
    <t>0</t>
  </si>
  <si>
    <t>01-JAN-00</t>
  </si>
  <si>
    <t>Best</t>
  </si>
  <si>
    <t>2</t>
  </si>
  <si>
    <t>FP</t>
  </si>
  <si>
    <t>Forecast</t>
  </si>
  <si>
    <t>4</t>
  </si>
  <si>
    <t>ITM(MK/IP)</t>
  </si>
  <si>
    <t>Worst</t>
  </si>
  <si>
    <t>5</t>
  </si>
  <si>
    <t>FIX上限あり(レベニュ</t>
  </si>
  <si>
    <t>11</t>
  </si>
  <si>
    <t>12-OCT-11</t>
  </si>
  <si>
    <t>Backlog</t>
  </si>
  <si>
    <t>6</t>
  </si>
  <si>
    <t>IRT(NOKK内レベニュー</t>
  </si>
  <si>
    <t>13</t>
  </si>
  <si>
    <t>Void</t>
  </si>
  <si>
    <t>7</t>
  </si>
  <si>
    <t>GRT(Globalレベニュー</t>
  </si>
  <si>
    <t>12</t>
  </si>
  <si>
    <t>8</t>
  </si>
  <si>
    <t>GCR(Globalコストトラ</t>
  </si>
  <si>
    <t>10</t>
  </si>
  <si>
    <t>9</t>
  </si>
  <si>
    <t>未定</t>
  </si>
  <si>
    <t>15</t>
  </si>
  <si>
    <t>Indirect(部門PJ)</t>
  </si>
  <si>
    <t>ITMFR</t>
  </si>
  <si>
    <t>3</t>
  </si>
  <si>
    <t>14</t>
  </si>
  <si>
    <t>ITMTT</t>
  </si>
  <si>
    <t>07-DEC-18</t>
  </si>
  <si>
    <t>ITMFC</t>
  </si>
  <si>
    <t>契約Type</t>
    <rPh sb="0" eb="2">
      <t>ケイヤク</t>
    </rPh>
    <phoneticPr fontId="3"/>
  </si>
  <si>
    <t>FP</t>
    <phoneticPr fontId="3"/>
  </si>
  <si>
    <t>Project Name</t>
    <phoneticPr fontId="3"/>
  </si>
  <si>
    <t>B89690 - Oracle Consulting Rapid Start Service for Autonomous Data Warehouse Cloud</t>
  </si>
  <si>
    <t>Dummyデータをここに貼り付ける</t>
    <rPh sb="12" eb="13">
      <t>ハ</t>
    </rPh>
    <rPh sb="14" eb="15">
      <t>ツ</t>
    </rPh>
    <phoneticPr fontId="3"/>
  </si>
  <si>
    <t>Opp#</t>
  </si>
  <si>
    <t>End user</t>
  </si>
  <si>
    <t>Customer</t>
  </si>
  <si>
    <t>Cons Category</t>
    <phoneticPr fontId="3"/>
  </si>
  <si>
    <t>Closed Date</t>
  </si>
  <si>
    <t>Start date</t>
  </si>
  <si>
    <t>End Date</t>
  </si>
  <si>
    <t>Amount(JPY)</t>
  </si>
  <si>
    <t>PJ管理組織</t>
  </si>
  <si>
    <t>Probability(%)</t>
  </si>
  <si>
    <t>Book Status</t>
  </si>
  <si>
    <t>Rev Status</t>
  </si>
  <si>
    <t>A794B</t>
    <phoneticPr fontId="3"/>
  </si>
  <si>
    <t>NEC Corporation</t>
    <phoneticPr fontId="3"/>
  </si>
  <si>
    <t>PaaS</t>
    <phoneticPr fontId="3"/>
  </si>
  <si>
    <t>T_CS</t>
  </si>
  <si>
    <t>Backlog</t>
    <phoneticPr fontId="3"/>
  </si>
  <si>
    <t>B5PYC</t>
    <phoneticPr fontId="3"/>
  </si>
  <si>
    <t>株式会社イチオク</t>
    <phoneticPr fontId="3"/>
  </si>
  <si>
    <t>T_CS</t>
    <phoneticPr fontId="3"/>
  </si>
  <si>
    <t>OPPOのdummy登録</t>
    <rPh sb="10" eb="12">
      <t>トウロク</t>
    </rPh>
    <phoneticPr fontId="3"/>
  </si>
  <si>
    <t>insert into PROJ_OPPO_LIST(OPPO_NUMBER, CONS_CATEGORY, WIN_PROB) values('B5PYC', 'PaaS', '60');</t>
    <phoneticPr fontId="3"/>
  </si>
  <si>
    <t>select proj_code_seq.NEXTVAL from dual</t>
  </si>
  <si>
    <t>PROJECT_LIST</t>
    <phoneticPr fontId="3"/>
  </si>
  <si>
    <t>契約形態</t>
    <rPh sb="0" eb="2">
      <t>ケイヤク</t>
    </rPh>
    <rPh sb="2" eb="4">
      <t>ケイタイ</t>
    </rPh>
    <phoneticPr fontId="3"/>
  </si>
  <si>
    <t>PROJ_CODE</t>
    <phoneticPr fontId="3"/>
  </si>
  <si>
    <t>GSI_PROJ_CODE</t>
  </si>
  <si>
    <t>PROJ_NAME</t>
    <phoneticPr fontId="3"/>
  </si>
  <si>
    <t>PROJ_START</t>
    <phoneticPr fontId="3"/>
  </si>
  <si>
    <t>PROJ_END</t>
  </si>
  <si>
    <t>CONS_START</t>
  </si>
  <si>
    <t>CONS_END</t>
  </si>
  <si>
    <t>EST_CONTRACT_DATE</t>
  </si>
  <si>
    <t>CONTRACT_DATE</t>
  </si>
  <si>
    <t>END_USER_NAME</t>
  </si>
  <si>
    <t>CLIENT_NAME</t>
  </si>
  <si>
    <t>CLIENT_NAME_E</t>
  </si>
  <si>
    <t>LICENSE</t>
  </si>
  <si>
    <t>DEPT_ID</t>
  </si>
  <si>
    <t>UNIT_ID</t>
    <phoneticPr fontId="3"/>
  </si>
  <si>
    <t>SALES_DEPT_ID</t>
  </si>
  <si>
    <t>SALES_ID</t>
  </si>
  <si>
    <t>PD_ID</t>
  </si>
  <si>
    <t>BID_MGR_ID</t>
  </si>
  <si>
    <t>PROJ_OWNER_ID</t>
  </si>
  <si>
    <t>PROJ_MGR_ID</t>
  </si>
  <si>
    <t>CONTRACT_ID</t>
  </si>
  <si>
    <t>WORK_STATUS</t>
  </si>
  <si>
    <t>PROJ_STATUS</t>
  </si>
  <si>
    <t>FINISHED</t>
  </si>
  <si>
    <t>WAR_DAYS</t>
  </si>
  <si>
    <t>BILLING_COMPANY</t>
  </si>
  <si>
    <t>BILLING_ZIP_CODE</t>
  </si>
  <si>
    <t>BILLING_ADDRESS</t>
  </si>
  <si>
    <t>BILLING_PERSON</t>
  </si>
  <si>
    <t>BID_PACKAGE_FLG</t>
  </si>
  <si>
    <t>ACCOUNTING_SEND_FLG</t>
  </si>
  <si>
    <t>EST_AMOUNT</t>
  </si>
  <si>
    <t>CONT_AMOUNT</t>
  </si>
  <si>
    <t>COMMENTS</t>
  </si>
  <si>
    <t>UPDATE_DATE</t>
  </si>
  <si>
    <t>UPDATE_PERSON</t>
  </si>
  <si>
    <t>PROJ_NAME_SHORT</t>
  </si>
  <si>
    <t>BUDGET_CODE</t>
  </si>
  <si>
    <t>OPPO_NUMBER</t>
  </si>
  <si>
    <t>CLASSIFICATION_4</t>
  </si>
  <si>
    <t>DEL_FLG</t>
  </si>
  <si>
    <t>DATA_UPD_TYPE</t>
  </si>
  <si>
    <t>CONTRACT_CREATION_DATE</t>
  </si>
  <si>
    <t>BOOK_STATUS</t>
  </si>
  <si>
    <t>REV_STATUS</t>
  </si>
  <si>
    <t>NO_UPD_REV_STATUS</t>
  </si>
  <si>
    <t>PA_CC_ID</t>
  </si>
  <si>
    <t>FPAUTO</t>
  </si>
  <si>
    <t>ADMI</t>
  </si>
  <si>
    <t>KEY_ACNT</t>
  </si>
  <si>
    <t>TL_ACNT</t>
  </si>
  <si>
    <t>EU_ACCOUNT_ID</t>
  </si>
  <si>
    <t>PROJECT_TOTAL</t>
  </si>
  <si>
    <t>SA_INFO</t>
  </si>
  <si>
    <t>CONTRACT_QUARTER</t>
  </si>
  <si>
    <t>SERVICE_CLASSIFICATION_ID</t>
  </si>
  <si>
    <t>NOT_BOOK_SUM</t>
  </si>
  <si>
    <t>BOOKING_ORG</t>
  </si>
  <si>
    <t>CLASS_CODE</t>
  </si>
  <si>
    <t>ALLOW_LOB_INVOICE</t>
  </si>
  <si>
    <t>OLD_PA_CC_ID</t>
  </si>
  <si>
    <t>SEC_PM</t>
  </si>
  <si>
    <t>CONTRACT_NUMBER</t>
  </si>
  <si>
    <t>PROJECT_STATUS_NAME</t>
  </si>
  <si>
    <t>COST_CENTER_FULL_NAME</t>
  </si>
  <si>
    <t>SKU_NO</t>
  </si>
  <si>
    <t>SKU_SPAN</t>
  </si>
  <si>
    <t>SKU_REV_REC_RULE</t>
  </si>
  <si>
    <t>CC00506325</t>
  </si>
  <si>
    <t>2</t>
    <phoneticPr fontId="3"/>
  </si>
  <si>
    <t>2</t>
    <phoneticPr fontId="3"/>
  </si>
  <si>
    <t>PROJ_ORG_LIST</t>
  </si>
  <si>
    <t>PROJ_CODE</t>
    <phoneticPr fontId="3"/>
  </si>
  <si>
    <t>PROD_ORG_ID</t>
    <phoneticPr fontId="3"/>
  </si>
  <si>
    <t>CC_ORG_ID</t>
    <phoneticPr fontId="3"/>
  </si>
  <si>
    <t>START_DATE</t>
    <phoneticPr fontId="3"/>
  </si>
  <si>
    <t>END_DATE</t>
    <phoneticPr fontId="3"/>
  </si>
  <si>
    <t>01-JUN-19</t>
    <phoneticPr fontId="3"/>
  </si>
  <si>
    <r>
      <t>select * from product_org_list where ORG_NAME_SHORT in ('</t>
    </r>
    <r>
      <rPr>
        <sz val="11"/>
        <color rgb="FFFF0000"/>
        <rFont val="ＭＳ Ｐゴシック"/>
        <family val="2"/>
        <charset val="128"/>
        <scheme val="minor"/>
      </rPr>
      <t>T_CS</t>
    </r>
    <r>
      <rPr>
        <sz val="11"/>
        <color theme="1"/>
        <rFont val="ＭＳ Ｐゴシック"/>
        <family val="2"/>
        <charset val="128"/>
        <scheme val="minor"/>
      </rPr>
      <t>','T_CTR')</t>
    </r>
    <phoneticPr fontId="3"/>
  </si>
  <si>
    <t>結果をここに貼り付ける</t>
    <rPh sb="0" eb="2">
      <t>ケッカ</t>
    </rPh>
    <phoneticPr fontId="3"/>
  </si>
  <si>
    <t>PRODUCT_ORG_LIST</t>
    <phoneticPr fontId="3"/>
  </si>
  <si>
    <t>ORG_NAME_SHORT</t>
    <phoneticPr fontId="3"/>
  </si>
  <si>
    <t>ORG_ID</t>
    <phoneticPr fontId="3"/>
  </si>
  <si>
    <t>ORG_START_DATE</t>
  </si>
  <si>
    <t>ORG_END_DATE</t>
  </si>
  <si>
    <t>ORG_NAME</t>
  </si>
  <si>
    <t>ORG_LEVEL</t>
  </si>
  <si>
    <t>ORG_LEADER</t>
  </si>
  <si>
    <t>LEVEL0</t>
  </si>
  <si>
    <t>LEVEL1</t>
  </si>
  <si>
    <t>LEVEL2</t>
  </si>
  <si>
    <t>LEVEL3</t>
  </si>
  <si>
    <t>LEVEL4</t>
  </si>
  <si>
    <t>LEVEL5</t>
  </si>
  <si>
    <t>LEVEL6</t>
  </si>
  <si>
    <t>INPUT_UNIT_FLG</t>
  </si>
  <si>
    <t>T_CTR</t>
    <phoneticPr fontId="3"/>
  </si>
  <si>
    <t>01-JUN-19</t>
  </si>
  <si>
    <t>T_CS</t>
    <phoneticPr fontId="3"/>
  </si>
  <si>
    <t>P1000446</t>
    <phoneticPr fontId="3"/>
  </si>
  <si>
    <t>ｸﾗｳﾄﾞｿﾘｭｰｼｮﾝ本部</t>
  </si>
  <si>
    <t>P1000201</t>
  </si>
  <si>
    <t>P1000437</t>
  </si>
  <si>
    <t>P1000446</t>
  </si>
  <si>
    <t>40</t>
  </si>
  <si>
    <t>前野</t>
  </si>
  <si>
    <t>select * from PROD_CC_ORG_MAP where PROD_ORG_ID in  （'P1000446', '')</t>
    <phoneticPr fontId="3"/>
  </si>
  <si>
    <t>PROD_CC_ORG_MAP</t>
    <phoneticPr fontId="3"/>
  </si>
  <si>
    <t>CC_ORG_ID</t>
  </si>
  <si>
    <t>CC00506325</t>
    <phoneticPr fontId="3"/>
  </si>
</sst>
</file>

<file path=xl/styles.xml><?xml version="1.0" encoding="utf-8"?>
<styleSheet xmlns="http://schemas.openxmlformats.org/spreadsheetml/2006/main">
  <numFmts count="2">
    <numFmt numFmtId="176" formatCode="#,##0_ "/>
    <numFmt numFmtId="177" formatCode="0_ "/>
  </numFmts>
  <fonts count="10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00000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9C5700"/>
      <name val="ＭＳ Ｐゴシック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87E7A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4" fillId="0" borderId="0" xfId="0" applyNumberFormat="1" applyFont="1">
      <alignment vertical="center"/>
    </xf>
    <xf numFmtId="49" fontId="5" fillId="9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0" borderId="2" xfId="0" applyNumberFormat="1" applyBorder="1">
      <alignment vertical="center"/>
    </xf>
    <xf numFmtId="0" fontId="0" fillId="10" borderId="2" xfId="0" applyFill="1" applyBorder="1" applyAlignment="1">
      <alignment vertical="center" wrapText="1"/>
    </xf>
    <xf numFmtId="0" fontId="0" fillId="10" borderId="2" xfId="0" applyFill="1" applyBorder="1" applyAlignment="1">
      <alignment vertical="top" wrapText="1"/>
    </xf>
    <xf numFmtId="0" fontId="6" fillId="0" borderId="2" xfId="0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14" fontId="0" fillId="0" borderId="2" xfId="0" applyNumberFormat="1" applyBorder="1" applyAlignment="1">
      <alignment vertical="top" wrapText="1"/>
    </xf>
    <xf numFmtId="14" fontId="0" fillId="0" borderId="2" xfId="0" applyNumberFormat="1" applyBorder="1" applyAlignment="1">
      <alignment horizontal="right" vertical="center" wrapText="1"/>
    </xf>
    <xf numFmtId="176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horizontal="right" vertical="center" wrapText="1"/>
    </xf>
    <xf numFmtId="3" fontId="0" fillId="0" borderId="2" xfId="0" applyNumberFormat="1" applyBorder="1" applyAlignment="1">
      <alignment horizontal="right" vertical="center" wrapText="1"/>
    </xf>
    <xf numFmtId="0" fontId="0" fillId="0" borderId="0" xfId="0" applyBorder="1" applyAlignment="1">
      <alignment vertical="center" wrapText="1"/>
    </xf>
    <xf numFmtId="14" fontId="0" fillId="0" borderId="0" xfId="0" applyNumberFormat="1" applyBorder="1" applyAlignment="1">
      <alignment vertical="top" wrapText="1"/>
    </xf>
    <xf numFmtId="14" fontId="0" fillId="0" borderId="0" xfId="0" applyNumberFormat="1" applyBorder="1" applyAlignment="1">
      <alignment horizontal="right" vertical="center" wrapText="1"/>
    </xf>
    <xf numFmtId="3" fontId="0" fillId="0" borderId="0" xfId="0" applyNumberFormat="1" applyBorder="1" applyAlignment="1">
      <alignment horizontal="right" vertical="center" wrapText="1"/>
    </xf>
    <xf numFmtId="0" fontId="0" fillId="0" borderId="0" xfId="0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vertical="top" wrapText="1"/>
    </xf>
    <xf numFmtId="14" fontId="0" fillId="0" borderId="0" xfId="0" applyNumberFormat="1" applyAlignment="1">
      <alignment horizontal="right" vertical="center" wrapText="1"/>
    </xf>
    <xf numFmtId="3" fontId="0" fillId="0" borderId="0" xfId="0" applyNumberFormat="1" applyAlignment="1">
      <alignment horizontal="right" vertical="center" wrapText="1"/>
    </xf>
    <xf numFmtId="49" fontId="5" fillId="9" borderId="2" xfId="0" applyNumberFormat="1" applyFont="1" applyFill="1" applyBorder="1" applyAlignment="1">
      <alignment horizontal="left" vertical="center" wrapText="1"/>
    </xf>
    <xf numFmtId="49" fontId="2" fillId="11" borderId="2" xfId="0" applyNumberFormat="1" applyFont="1" applyFill="1" applyBorder="1">
      <alignment vertical="center"/>
    </xf>
    <xf numFmtId="49" fontId="2" fillId="11" borderId="2" xfId="0" applyNumberFormat="1" applyFont="1" applyFill="1" applyBorder="1" applyAlignment="1">
      <alignment vertical="center" wrapText="1"/>
    </xf>
    <xf numFmtId="49" fontId="8" fillId="11" borderId="2" xfId="0" applyNumberFormat="1" applyFont="1" applyFill="1" applyBorder="1">
      <alignment vertical="center"/>
    </xf>
    <xf numFmtId="0" fontId="0" fillId="11" borderId="2" xfId="0" applyFill="1" applyBorder="1" applyAlignment="1">
      <alignment vertical="center" wrapText="1"/>
    </xf>
    <xf numFmtId="49" fontId="0" fillId="11" borderId="2" xfId="0" applyNumberFormat="1" applyFill="1" applyBorder="1">
      <alignment vertical="center"/>
    </xf>
    <xf numFmtId="49" fontId="6" fillId="11" borderId="2" xfId="0" applyNumberFormat="1" applyFont="1" applyFill="1" applyBorder="1" applyAlignment="1">
      <alignment vertical="top" wrapText="1"/>
    </xf>
    <xf numFmtId="14" fontId="6" fillId="11" borderId="2" xfId="0" applyNumberFormat="1" applyFont="1" applyFill="1" applyBorder="1" applyAlignment="1">
      <alignment vertical="center" wrapText="1"/>
    </xf>
    <xf numFmtId="49" fontId="6" fillId="11" borderId="2" xfId="0" applyNumberFormat="1" applyFont="1" applyFill="1" applyBorder="1">
      <alignment vertical="center"/>
    </xf>
    <xf numFmtId="49" fontId="6" fillId="0" borderId="2" xfId="0" applyNumberFormat="1" applyFont="1" applyBorder="1">
      <alignment vertical="center"/>
    </xf>
    <xf numFmtId="14" fontId="6" fillId="11" borderId="2" xfId="0" applyNumberFormat="1" applyFont="1" applyFill="1" applyBorder="1">
      <alignment vertical="center"/>
    </xf>
    <xf numFmtId="49" fontId="2" fillId="0" borderId="2" xfId="0" applyNumberFormat="1" applyFont="1" applyBorder="1">
      <alignment vertical="center"/>
    </xf>
    <xf numFmtId="177" fontId="6" fillId="11" borderId="2" xfId="0" applyNumberFormat="1" applyFont="1" applyFill="1" applyBorder="1">
      <alignment vertical="center"/>
    </xf>
    <xf numFmtId="0" fontId="6" fillId="11" borderId="2" xfId="0" applyNumberFormat="1" applyFont="1" applyFill="1" applyBorder="1">
      <alignment vertical="center"/>
    </xf>
    <xf numFmtId="49" fontId="8" fillId="0" borderId="2" xfId="0" applyNumberFormat="1" applyFont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0" xfId="0" applyNumberFormat="1" applyFill="1">
      <alignment vertical="center"/>
    </xf>
    <xf numFmtId="0" fontId="0" fillId="11" borderId="2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12" borderId="2" xfId="0" applyNumberFormat="1" applyFill="1" applyBorder="1">
      <alignment vertical="center"/>
    </xf>
    <xf numFmtId="49" fontId="7" fillId="0" borderId="0" xfId="0" applyNumberFormat="1" applyFont="1" applyFill="1">
      <alignment vertical="center"/>
    </xf>
    <xf numFmtId="49" fontId="7" fillId="0" borderId="2" xfId="0" applyNumberFormat="1" applyFont="1" applyFill="1" applyBorder="1">
      <alignment vertical="center"/>
    </xf>
    <xf numFmtId="49" fontId="0" fillId="0" borderId="2" xfId="0" applyNumberFormat="1" applyFill="1" applyBorder="1">
      <alignment vertical="center"/>
    </xf>
    <xf numFmtId="49" fontId="2" fillId="0" borderId="0" xfId="0" applyNumberFormat="1" applyFont="1">
      <alignment vertical="center"/>
    </xf>
  </cellXfs>
  <cellStyles count="8">
    <cellStyle name="60% - アクセント 1 2" xfId="1"/>
    <cellStyle name="60% - アクセント 2 2" xfId="2"/>
    <cellStyle name="60% - アクセント 3 2" xfId="3"/>
    <cellStyle name="60% - アクセント 4 2" xfId="4"/>
    <cellStyle name="60% - アクセント 5 2" xfId="5"/>
    <cellStyle name="60% - アクセント 6 2" xfId="6"/>
    <cellStyle name="どちらでもない 2" xfId="7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BS74"/>
  <sheetViews>
    <sheetView tabSelected="1" workbookViewId="0">
      <selection activeCell="G18" sqref="G18"/>
    </sheetView>
  </sheetViews>
  <sheetFormatPr defaultRowHeight="13.5"/>
  <cols>
    <col min="1" max="1" width="9" style="1"/>
    <col min="2" max="2" width="13.125" style="1" customWidth="1"/>
    <col min="3" max="3" width="14.25" style="1" customWidth="1"/>
    <col min="4" max="4" width="24.75" style="1" customWidth="1"/>
    <col min="5" max="5" width="17.25" style="1" customWidth="1"/>
    <col min="6" max="6" width="11.5" style="1" customWidth="1"/>
    <col min="7" max="7" width="12.5" style="1" customWidth="1"/>
    <col min="8" max="8" width="15" style="1" customWidth="1"/>
    <col min="9" max="9" width="22.25" style="1" customWidth="1"/>
    <col min="10" max="10" width="14.875" style="1" customWidth="1"/>
    <col min="11" max="11" width="15" style="1" customWidth="1"/>
    <col min="12" max="12" width="29.875" style="1" customWidth="1"/>
    <col min="13" max="13" width="24.375" style="1" customWidth="1"/>
    <col min="14" max="16" width="9" style="1"/>
    <col min="17" max="17" width="14.75" style="1" customWidth="1"/>
    <col min="18" max="18" width="19" style="1" customWidth="1"/>
    <col min="19" max="19" width="32.125" style="1" customWidth="1"/>
    <col min="20" max="37" width="9" style="1"/>
    <col min="38" max="38" width="17.125" style="1" customWidth="1"/>
    <col min="39" max="39" width="16.25" style="1" customWidth="1"/>
    <col min="40" max="16384" width="9" style="1"/>
  </cols>
  <sheetData>
    <row r="2" spans="1:12">
      <c r="A2" s="1" t="s">
        <v>0</v>
      </c>
    </row>
    <row r="3" spans="1:12">
      <c r="B3" s="2" t="s">
        <v>1</v>
      </c>
      <c r="H3" s="2" t="s">
        <v>2</v>
      </c>
    </row>
    <row r="4" spans="1:12" ht="27">
      <c r="B4" s="3" t="s">
        <v>3</v>
      </c>
      <c r="C4" s="3" t="s">
        <v>4</v>
      </c>
      <c r="D4" s="3" t="s">
        <v>5</v>
      </c>
      <c r="E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</row>
    <row r="5" spans="1:12">
      <c r="B5" s="4" t="s">
        <v>12</v>
      </c>
      <c r="C5" s="5">
        <v>1</v>
      </c>
      <c r="D5" s="6">
        <v>0</v>
      </c>
      <c r="E5" s="5">
        <v>1</v>
      </c>
      <c r="H5" s="7" t="s">
        <v>13</v>
      </c>
      <c r="I5" s="7" t="s">
        <v>14</v>
      </c>
      <c r="J5" s="7" t="s">
        <v>15</v>
      </c>
      <c r="K5" s="7" t="s">
        <v>16</v>
      </c>
      <c r="L5" s="7"/>
    </row>
    <row r="6" spans="1:12">
      <c r="B6" s="4" t="s">
        <v>17</v>
      </c>
      <c r="C6" s="5">
        <v>2</v>
      </c>
      <c r="D6" s="6">
        <v>0.1</v>
      </c>
      <c r="E6" s="5">
        <v>2</v>
      </c>
      <c r="H6" s="7" t="s">
        <v>18</v>
      </c>
      <c r="I6" s="7" t="s">
        <v>19</v>
      </c>
      <c r="J6" s="7" t="s">
        <v>13</v>
      </c>
      <c r="K6" s="7" t="s">
        <v>16</v>
      </c>
      <c r="L6" s="7"/>
    </row>
    <row r="7" spans="1:12">
      <c r="B7" s="4" t="s">
        <v>20</v>
      </c>
      <c r="C7" s="5">
        <v>3</v>
      </c>
      <c r="D7" s="6">
        <v>0.5</v>
      </c>
      <c r="E7" s="5">
        <v>3</v>
      </c>
      <c r="H7" s="7" t="s">
        <v>21</v>
      </c>
      <c r="I7" s="7" t="s">
        <v>22</v>
      </c>
      <c r="J7" s="7" t="s">
        <v>21</v>
      </c>
      <c r="K7" s="7" t="s">
        <v>16</v>
      </c>
      <c r="L7" s="7"/>
    </row>
    <row r="8" spans="1:12">
      <c r="B8" s="4" t="s">
        <v>23</v>
      </c>
      <c r="C8" s="5">
        <v>4</v>
      </c>
      <c r="D8" s="6">
        <v>1</v>
      </c>
      <c r="E8" s="5">
        <v>4</v>
      </c>
      <c r="H8" s="7" t="s">
        <v>24</v>
      </c>
      <c r="I8" s="7" t="s">
        <v>25</v>
      </c>
      <c r="J8" s="7" t="s">
        <v>26</v>
      </c>
      <c r="K8" s="7" t="s">
        <v>16</v>
      </c>
      <c r="L8" s="7" t="s">
        <v>27</v>
      </c>
    </row>
    <row r="9" spans="1:12">
      <c r="B9" s="4" t="s">
        <v>28</v>
      </c>
      <c r="C9" s="5">
        <v>5</v>
      </c>
      <c r="D9" s="6">
        <v>1</v>
      </c>
      <c r="E9" s="5">
        <v>5</v>
      </c>
      <c r="H9" s="7" t="s">
        <v>29</v>
      </c>
      <c r="I9" s="7" t="s">
        <v>30</v>
      </c>
      <c r="J9" s="7" t="s">
        <v>31</v>
      </c>
      <c r="K9" s="7" t="s">
        <v>16</v>
      </c>
      <c r="L9" s="7" t="s">
        <v>27</v>
      </c>
    </row>
    <row r="10" spans="1:12">
      <c r="B10" s="4" t="s">
        <v>32</v>
      </c>
      <c r="C10" s="5">
        <v>99</v>
      </c>
      <c r="D10" s="6">
        <v>0</v>
      </c>
      <c r="E10" s="5">
        <v>99</v>
      </c>
      <c r="H10" s="7" t="s">
        <v>33</v>
      </c>
      <c r="I10" s="7" t="s">
        <v>34</v>
      </c>
      <c r="J10" s="7" t="s">
        <v>35</v>
      </c>
      <c r="K10" s="7" t="s">
        <v>16</v>
      </c>
      <c r="L10" s="7" t="s">
        <v>27</v>
      </c>
    </row>
    <row r="11" spans="1:12">
      <c r="H11" s="7" t="s">
        <v>36</v>
      </c>
      <c r="I11" s="7" t="s">
        <v>37</v>
      </c>
      <c r="J11" s="7" t="s">
        <v>38</v>
      </c>
      <c r="K11" s="7" t="s">
        <v>16</v>
      </c>
      <c r="L11" s="7" t="s">
        <v>27</v>
      </c>
    </row>
    <row r="12" spans="1:12">
      <c r="H12" s="7" t="s">
        <v>39</v>
      </c>
      <c r="I12" s="7" t="s">
        <v>40</v>
      </c>
      <c r="J12" s="7" t="s">
        <v>33</v>
      </c>
      <c r="K12" s="7" t="s">
        <v>16</v>
      </c>
      <c r="L12" s="7"/>
    </row>
    <row r="13" spans="1:12">
      <c r="H13" s="7" t="s">
        <v>41</v>
      </c>
      <c r="I13" s="7" t="s">
        <v>42</v>
      </c>
      <c r="J13" s="7" t="s">
        <v>29</v>
      </c>
      <c r="K13" s="7" t="s">
        <v>16</v>
      </c>
      <c r="L13" s="7"/>
    </row>
    <row r="14" spans="1:12">
      <c r="H14" s="7" t="s">
        <v>26</v>
      </c>
      <c r="I14" s="7" t="s">
        <v>43</v>
      </c>
      <c r="J14" s="7" t="s">
        <v>44</v>
      </c>
      <c r="K14" s="7" t="s">
        <v>16</v>
      </c>
      <c r="L14" s="7"/>
    </row>
    <row r="15" spans="1:12">
      <c r="H15" s="7" t="s">
        <v>45</v>
      </c>
      <c r="I15" s="7" t="s">
        <v>46</v>
      </c>
      <c r="J15" s="7" t="s">
        <v>24</v>
      </c>
      <c r="K15" s="7" t="s">
        <v>47</v>
      </c>
      <c r="L15" s="7"/>
    </row>
    <row r="16" spans="1:12">
      <c r="H16" s="7" t="s">
        <v>44</v>
      </c>
      <c r="I16" s="7" t="s">
        <v>48</v>
      </c>
      <c r="J16" s="7" t="s">
        <v>18</v>
      </c>
      <c r="K16" s="7" t="s">
        <v>16</v>
      </c>
      <c r="L16" s="7"/>
    </row>
    <row r="17" spans="1:14">
      <c r="B17"/>
    </row>
    <row r="18" spans="1:14">
      <c r="B18"/>
    </row>
    <row r="19" spans="1:14">
      <c r="B19" s="1" t="s">
        <v>49</v>
      </c>
      <c r="C19" s="1" t="s">
        <v>50</v>
      </c>
    </row>
    <row r="20" spans="1:14">
      <c r="B20" s="1" t="s">
        <v>51</v>
      </c>
      <c r="C20" s="1" t="s">
        <v>52</v>
      </c>
    </row>
    <row r="22" spans="1:14">
      <c r="A22" s="1" t="s">
        <v>53</v>
      </c>
    </row>
    <row r="23" spans="1:14">
      <c r="B23" s="8" t="s">
        <v>54</v>
      </c>
      <c r="C23" s="8" t="s">
        <v>55</v>
      </c>
      <c r="D23" s="8" t="s">
        <v>56</v>
      </c>
      <c r="E23" s="8" t="s">
        <v>57</v>
      </c>
      <c r="F23" s="9" t="s">
        <v>58</v>
      </c>
      <c r="G23" s="8" t="s">
        <v>59</v>
      </c>
      <c r="H23" s="9" t="s">
        <v>60</v>
      </c>
      <c r="I23" s="8" t="s">
        <v>61</v>
      </c>
      <c r="J23" s="8" t="s">
        <v>62</v>
      </c>
      <c r="K23" s="8" t="s">
        <v>63</v>
      </c>
      <c r="L23" s="8" t="s">
        <v>64</v>
      </c>
      <c r="M23" s="8" t="s">
        <v>65</v>
      </c>
    </row>
    <row r="24" spans="1:14">
      <c r="B24" s="10" t="s">
        <v>66</v>
      </c>
      <c r="C24" s="11" t="s">
        <v>67</v>
      </c>
      <c r="D24" s="11" t="s">
        <v>67</v>
      </c>
      <c r="E24" s="12" t="s">
        <v>68</v>
      </c>
      <c r="F24" s="13">
        <v>43663</v>
      </c>
      <c r="G24" s="14">
        <v>43663</v>
      </c>
      <c r="H24" s="13">
        <v>43754</v>
      </c>
      <c r="I24" s="15">
        <v>780000</v>
      </c>
      <c r="J24" s="12" t="s">
        <v>69</v>
      </c>
      <c r="K24" s="16">
        <v>100</v>
      </c>
      <c r="L24" s="12" t="s">
        <v>70</v>
      </c>
      <c r="M24" s="12" t="s">
        <v>28</v>
      </c>
    </row>
    <row r="25" spans="1:14" ht="27">
      <c r="B25" s="12" t="s">
        <v>71</v>
      </c>
      <c r="C25" s="12" t="s">
        <v>72</v>
      </c>
      <c r="D25" s="12" t="s">
        <v>72</v>
      </c>
      <c r="E25" s="12" t="s">
        <v>68</v>
      </c>
      <c r="F25" s="13">
        <v>43672</v>
      </c>
      <c r="G25" s="14">
        <v>43672</v>
      </c>
      <c r="H25" s="13">
        <v>43763</v>
      </c>
      <c r="I25" s="17">
        <v>780000</v>
      </c>
      <c r="J25" s="12" t="s">
        <v>73</v>
      </c>
      <c r="K25" s="16">
        <v>60</v>
      </c>
      <c r="L25" s="12" t="s">
        <v>20</v>
      </c>
      <c r="M25" s="12" t="s">
        <v>20</v>
      </c>
    </row>
    <row r="26" spans="1:14">
      <c r="B26" s="18"/>
      <c r="C26" s="18"/>
      <c r="D26" s="18"/>
      <c r="E26" s="18"/>
      <c r="F26" s="19"/>
      <c r="G26" s="19"/>
      <c r="H26" s="20"/>
      <c r="I26" s="19"/>
      <c r="J26" s="21"/>
      <c r="K26" s="18"/>
      <c r="L26" s="22"/>
      <c r="M26" s="18"/>
      <c r="N26" s="18"/>
    </row>
    <row r="27" spans="1:14">
      <c r="B27" s="18"/>
      <c r="C27" s="18"/>
      <c r="D27" s="18"/>
      <c r="E27" s="18"/>
      <c r="F27" s="19"/>
      <c r="G27" s="19"/>
      <c r="H27" s="20"/>
      <c r="I27" s="19"/>
      <c r="J27" s="21"/>
      <c r="K27" s="18"/>
      <c r="L27" s="22"/>
      <c r="M27" s="18"/>
      <c r="N27" s="18"/>
    </row>
    <row r="28" spans="1:14">
      <c r="B28" s="18"/>
      <c r="C28" s="18"/>
      <c r="D28" s="18"/>
      <c r="E28" s="18"/>
      <c r="F28" s="19"/>
      <c r="G28" s="19"/>
      <c r="H28" s="20"/>
      <c r="I28" s="19"/>
      <c r="J28" s="21"/>
      <c r="K28" s="18"/>
      <c r="L28" s="22"/>
      <c r="M28" s="18"/>
      <c r="N28" s="18"/>
    </row>
    <row r="29" spans="1:14">
      <c r="B29" s="23"/>
      <c r="C29" s="23"/>
      <c r="D29" s="23"/>
      <c r="E29" s="23"/>
      <c r="F29" s="24"/>
      <c r="G29" s="24"/>
      <c r="H29" s="25"/>
      <c r="I29" s="26"/>
      <c r="J29" s="25"/>
      <c r="K29" s="27"/>
      <c r="L29" s="23"/>
      <c r="M29" s="23"/>
      <c r="N29" s="23"/>
    </row>
    <row r="30" spans="1:14">
      <c r="B30" s="23"/>
      <c r="C30" s="23"/>
      <c r="D30" s="23"/>
      <c r="E30" s="23"/>
      <c r="F30" s="24"/>
      <c r="G30" s="24"/>
      <c r="H30" s="25"/>
      <c r="I30" s="26"/>
      <c r="J30" s="25"/>
      <c r="K30" s="27"/>
      <c r="L30" s="23"/>
      <c r="M30" s="23"/>
      <c r="N30" s="23"/>
    </row>
    <row r="31" spans="1:14">
      <c r="B31" s="23"/>
      <c r="C31" s="23"/>
      <c r="D31" s="23"/>
      <c r="E31" s="23"/>
      <c r="F31" s="24"/>
      <c r="G31" s="24"/>
      <c r="H31" s="25"/>
      <c r="I31" s="26"/>
      <c r="J31" s="25"/>
      <c r="K31" s="27"/>
      <c r="L31" s="23"/>
      <c r="M31" s="23"/>
      <c r="N31" s="23"/>
    </row>
    <row r="32" spans="1:14">
      <c r="B32" s="23"/>
      <c r="C32" s="23"/>
      <c r="D32" s="23"/>
      <c r="E32" s="23"/>
      <c r="F32" s="24"/>
      <c r="G32" s="24"/>
      <c r="H32" s="25"/>
      <c r="I32" s="26"/>
      <c r="J32" s="25"/>
      <c r="K32" s="27"/>
      <c r="L32" s="23"/>
      <c r="M32" s="23"/>
      <c r="N32" s="23"/>
    </row>
    <row r="33" spans="2:71">
      <c r="B33" s="2" t="s">
        <v>74</v>
      </c>
    </row>
    <row r="34" spans="2:71">
      <c r="B34" s="1" t="s">
        <v>75</v>
      </c>
    </row>
    <row r="40" spans="2:71">
      <c r="B40" s="1" t="s">
        <v>76</v>
      </c>
    </row>
    <row r="41" spans="2:71">
      <c r="B41" s="2" t="s">
        <v>77</v>
      </c>
      <c r="E41"/>
      <c r="X41" s="1" t="s">
        <v>78</v>
      </c>
    </row>
    <row r="42" spans="2:71" ht="54">
      <c r="B42" s="28" t="s">
        <v>79</v>
      </c>
      <c r="C42" s="28" t="s">
        <v>80</v>
      </c>
      <c r="D42" s="28" t="s">
        <v>81</v>
      </c>
      <c r="E42" s="28" t="s">
        <v>82</v>
      </c>
      <c r="F42" s="28" t="s">
        <v>83</v>
      </c>
      <c r="G42" s="28"/>
      <c r="H42" s="28" t="s">
        <v>84</v>
      </c>
      <c r="I42" s="28" t="s">
        <v>85</v>
      </c>
      <c r="J42" s="28" t="s">
        <v>86</v>
      </c>
      <c r="K42" s="28" t="s">
        <v>87</v>
      </c>
      <c r="L42" s="28" t="s">
        <v>88</v>
      </c>
      <c r="M42" s="28" t="s">
        <v>89</v>
      </c>
      <c r="N42" s="28" t="s">
        <v>90</v>
      </c>
      <c r="O42" s="28" t="s">
        <v>91</v>
      </c>
      <c r="P42" s="28" t="s">
        <v>92</v>
      </c>
      <c r="Q42" s="28" t="s">
        <v>93</v>
      </c>
      <c r="R42" s="28" t="s">
        <v>94</v>
      </c>
      <c r="S42" s="28" t="s">
        <v>95</v>
      </c>
      <c r="T42" s="28" t="s">
        <v>96</v>
      </c>
      <c r="U42" s="28" t="s">
        <v>97</v>
      </c>
      <c r="V42" s="28" t="s">
        <v>98</v>
      </c>
      <c r="W42" s="28" t="s">
        <v>99</v>
      </c>
      <c r="X42" s="28" t="s">
        <v>100</v>
      </c>
      <c r="Y42" s="28" t="s">
        <v>101</v>
      </c>
      <c r="Z42" s="28" t="s">
        <v>102</v>
      </c>
      <c r="AA42" s="28" t="s">
        <v>103</v>
      </c>
      <c r="AB42" s="28" t="s">
        <v>104</v>
      </c>
      <c r="AC42" s="28" t="s">
        <v>105</v>
      </c>
      <c r="AD42" s="28" t="s">
        <v>106</v>
      </c>
      <c r="AE42" s="28" t="s">
        <v>107</v>
      </c>
      <c r="AF42" s="28" t="s">
        <v>108</v>
      </c>
      <c r="AG42" s="28" t="s">
        <v>109</v>
      </c>
      <c r="AH42" s="28" t="s">
        <v>110</v>
      </c>
      <c r="AI42" s="28" t="s">
        <v>111</v>
      </c>
      <c r="AJ42" s="28" t="s">
        <v>112</v>
      </c>
      <c r="AK42" s="28" t="s">
        <v>113</v>
      </c>
      <c r="AL42" s="28" t="s">
        <v>114</v>
      </c>
      <c r="AM42" s="28" t="s">
        <v>115</v>
      </c>
      <c r="AN42" s="28" t="s">
        <v>116</v>
      </c>
      <c r="AO42" s="28" t="s">
        <v>117</v>
      </c>
      <c r="AP42" s="28" t="s">
        <v>118</v>
      </c>
      <c r="AQ42" s="28" t="s">
        <v>119</v>
      </c>
      <c r="AR42" s="28" t="s">
        <v>120</v>
      </c>
      <c r="AS42" s="28" t="s">
        <v>121</v>
      </c>
      <c r="AT42" s="28" t="s">
        <v>122</v>
      </c>
      <c r="AU42" s="28" t="s">
        <v>123</v>
      </c>
      <c r="AV42" s="28" t="s">
        <v>124</v>
      </c>
      <c r="AW42" s="28" t="s">
        <v>125</v>
      </c>
      <c r="AX42" s="28" t="s">
        <v>126</v>
      </c>
      <c r="AY42" s="28" t="s">
        <v>127</v>
      </c>
      <c r="AZ42" s="28" t="s">
        <v>128</v>
      </c>
      <c r="BA42" s="28" t="s">
        <v>129</v>
      </c>
      <c r="BB42" s="28" t="s">
        <v>130</v>
      </c>
      <c r="BC42" s="28" t="s">
        <v>131</v>
      </c>
      <c r="BD42" s="28" t="s">
        <v>132</v>
      </c>
      <c r="BE42" s="28" t="s">
        <v>133</v>
      </c>
      <c r="BF42" s="28" t="s">
        <v>134</v>
      </c>
      <c r="BG42" s="28" t="s">
        <v>135</v>
      </c>
      <c r="BH42" s="28" t="s">
        <v>136</v>
      </c>
      <c r="BI42" s="28" t="s">
        <v>137</v>
      </c>
      <c r="BJ42" s="28" t="s">
        <v>138</v>
      </c>
      <c r="BK42" s="28" t="s">
        <v>139</v>
      </c>
      <c r="BL42" s="28" t="s">
        <v>140</v>
      </c>
      <c r="BM42" s="28" t="s">
        <v>141</v>
      </c>
      <c r="BN42" s="28" t="s">
        <v>142</v>
      </c>
      <c r="BO42" s="28" t="s">
        <v>143</v>
      </c>
      <c r="BP42" s="28" t="s">
        <v>144</v>
      </c>
      <c r="BQ42" s="28" t="s">
        <v>145</v>
      </c>
      <c r="BR42" s="28" t="s">
        <v>146</v>
      </c>
      <c r="BS42" s="28" t="s">
        <v>147</v>
      </c>
    </row>
    <row r="43" spans="2:71">
      <c r="B43" s="29"/>
      <c r="C43" s="7"/>
      <c r="D43" s="30"/>
      <c r="E43" s="29"/>
      <c r="F43" s="31"/>
      <c r="G43" s="31"/>
      <c r="H43" s="29"/>
      <c r="I43" s="31"/>
      <c r="J43" s="7"/>
      <c r="K43" s="29"/>
      <c r="L43" s="32"/>
      <c r="M43" s="32"/>
      <c r="N43" s="7"/>
      <c r="O43" s="7"/>
      <c r="P43" s="7"/>
      <c r="Q43" s="33"/>
      <c r="R43" s="7"/>
      <c r="S43" s="7"/>
      <c r="T43" s="7"/>
      <c r="U43" s="7"/>
      <c r="V43" s="7"/>
      <c r="W43" s="7"/>
      <c r="X43" s="33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29"/>
      <c r="AK43" s="7"/>
      <c r="AL43" s="7"/>
      <c r="AM43" s="7"/>
      <c r="AN43" s="7"/>
      <c r="AO43" s="7"/>
      <c r="AP43" s="29"/>
      <c r="AQ43" s="7"/>
      <c r="AR43" s="7"/>
      <c r="AS43" s="7"/>
      <c r="AT43" s="7"/>
      <c r="AU43" s="29"/>
      <c r="AV43" s="31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</row>
    <row r="44" spans="2:71" ht="64.5" customHeight="1">
      <c r="B44" s="29"/>
      <c r="C44" s="7"/>
      <c r="D44" s="34" t="str">
        <f>$C$20</f>
        <v>B89690 - Oracle Consulting Rapid Start Service for Autonomous Data Warehouse Cloud</v>
      </c>
      <c r="E44" s="35">
        <f>G24</f>
        <v>43663</v>
      </c>
      <c r="F44" s="35">
        <f>H24</f>
        <v>43754</v>
      </c>
      <c r="G44" s="36"/>
      <c r="H44" s="35">
        <f>G24</f>
        <v>43663</v>
      </c>
      <c r="I44" s="35">
        <f>H24</f>
        <v>43754</v>
      </c>
      <c r="J44" s="37"/>
      <c r="K44" s="38">
        <f>F24</f>
        <v>43663</v>
      </c>
      <c r="L44" s="32" t="str">
        <f>C24</f>
        <v>NEC Corporation</v>
      </c>
      <c r="M44" s="32" t="str">
        <f>D24</f>
        <v>NEC Corporation</v>
      </c>
      <c r="N44" s="7"/>
      <c r="O44" s="7"/>
      <c r="P44" s="7"/>
      <c r="Q44" s="29" t="s">
        <v>148</v>
      </c>
      <c r="R44" s="7"/>
      <c r="S44" s="7"/>
      <c r="T44" s="7"/>
      <c r="U44" s="7"/>
      <c r="V44" s="7"/>
      <c r="W44" s="7"/>
      <c r="X44" s="29" t="s">
        <v>149</v>
      </c>
      <c r="Y44" s="39" t="s">
        <v>15</v>
      </c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0">
        <f>I24</f>
        <v>780000</v>
      </c>
      <c r="AK44" s="7"/>
      <c r="AL44" s="7"/>
      <c r="AM44" s="7"/>
      <c r="AN44" s="7"/>
      <c r="AO44" s="7"/>
      <c r="AP44" s="41" t="str">
        <f>B24</f>
        <v>A794B</v>
      </c>
      <c r="AQ44" s="7"/>
      <c r="AR44" s="39" t="s">
        <v>15</v>
      </c>
      <c r="AS44" s="42" t="s">
        <v>15</v>
      </c>
      <c r="AT44" s="7"/>
      <c r="AU44" s="41">
        <f>VLOOKUP(L24,$B$5:$C$10,2,FALSE)</f>
        <v>5</v>
      </c>
      <c r="AV44" s="41">
        <f>VLOOKUP(M24,$B$5:$C$10,2,FALSE)</f>
        <v>5</v>
      </c>
      <c r="AW44" s="39" t="s">
        <v>15</v>
      </c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</row>
    <row r="45" spans="2:71" ht="64.5" customHeight="1">
      <c r="B45" s="29"/>
      <c r="C45" s="7"/>
      <c r="D45" s="34" t="str">
        <f>$C$20</f>
        <v>B89690 - Oracle Consulting Rapid Start Service for Autonomous Data Warehouse Cloud</v>
      </c>
      <c r="E45" s="35">
        <f>G25</f>
        <v>43672</v>
      </c>
      <c r="F45" s="35">
        <f>H25</f>
        <v>43763</v>
      </c>
      <c r="G45" s="36"/>
      <c r="H45" s="35">
        <f>G25</f>
        <v>43672</v>
      </c>
      <c r="I45" s="35">
        <f>H25</f>
        <v>43763</v>
      </c>
      <c r="J45" s="37"/>
      <c r="K45" s="38">
        <f>F25</f>
        <v>43672</v>
      </c>
      <c r="L45" s="32" t="str">
        <f>C25</f>
        <v>株式会社イチオク</v>
      </c>
      <c r="M45" s="32" t="str">
        <f>D25</f>
        <v>株式会社イチオク</v>
      </c>
      <c r="N45" s="7"/>
      <c r="O45" s="7"/>
      <c r="P45" s="7"/>
      <c r="Q45" s="31" t="s">
        <v>148</v>
      </c>
      <c r="R45" s="7"/>
      <c r="S45" s="7"/>
      <c r="T45" s="7"/>
      <c r="U45" s="7"/>
      <c r="V45" s="7"/>
      <c r="W45" s="7"/>
      <c r="X45" s="29" t="s">
        <v>150</v>
      </c>
      <c r="Y45" s="42" t="s">
        <v>15</v>
      </c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0">
        <f>I25</f>
        <v>780000</v>
      </c>
      <c r="AK45" s="7"/>
      <c r="AL45" s="7"/>
      <c r="AM45" s="7"/>
      <c r="AN45" s="7"/>
      <c r="AO45" s="7"/>
      <c r="AP45" s="41" t="str">
        <f>B25</f>
        <v>B5PYC</v>
      </c>
      <c r="AQ45" s="7"/>
      <c r="AR45" s="42" t="s">
        <v>15</v>
      </c>
      <c r="AS45" s="42" t="s">
        <v>15</v>
      </c>
      <c r="AT45" s="7"/>
      <c r="AU45" s="41">
        <f>VLOOKUP(L25,$B$5:$C$10,2,FALSE)</f>
        <v>3</v>
      </c>
      <c r="AV45" s="41">
        <f>VLOOKUP(M25,$B$5:$C$10,2,FALSE)</f>
        <v>3</v>
      </c>
      <c r="AW45" s="42" t="s">
        <v>15</v>
      </c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</row>
    <row r="46" spans="2:71" ht="64.5" customHeight="1">
      <c r="B46" s="29"/>
      <c r="C46" s="7"/>
      <c r="D46" s="34" t="str">
        <f>$C$20</f>
        <v>B89690 - Oracle Consulting Rapid Start Service for Autonomous Data Warehouse Cloud</v>
      </c>
      <c r="E46" s="35">
        <f>G26</f>
        <v>0</v>
      </c>
      <c r="F46" s="35">
        <f>H26</f>
        <v>0</v>
      </c>
      <c r="G46" s="36"/>
      <c r="H46" s="35">
        <f>G26</f>
        <v>0</v>
      </c>
      <c r="I46" s="35">
        <f>H26</f>
        <v>0</v>
      </c>
      <c r="J46" s="37"/>
      <c r="K46" s="38">
        <f>F26</f>
        <v>0</v>
      </c>
      <c r="L46" s="32">
        <f>C26</f>
        <v>0</v>
      </c>
      <c r="M46" s="32">
        <f>D26</f>
        <v>0</v>
      </c>
      <c r="N46" s="7"/>
      <c r="O46" s="7"/>
      <c r="P46" s="7"/>
      <c r="Q46" s="31" t="s">
        <v>148</v>
      </c>
      <c r="R46" s="7"/>
      <c r="S46" s="7"/>
      <c r="T46" s="7"/>
      <c r="U46" s="7"/>
      <c r="V46" s="7"/>
      <c r="W46" s="7"/>
      <c r="X46" s="29" t="s">
        <v>150</v>
      </c>
      <c r="Y46" s="42" t="s">
        <v>15</v>
      </c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0">
        <f>I26</f>
        <v>0</v>
      </c>
      <c r="AK46" s="7"/>
      <c r="AL46" s="7"/>
      <c r="AM46" s="7"/>
      <c r="AN46" s="7"/>
      <c r="AO46" s="7"/>
      <c r="AP46" s="41">
        <f>B26</f>
        <v>0</v>
      </c>
      <c r="AQ46" s="7"/>
      <c r="AR46" s="42" t="s">
        <v>15</v>
      </c>
      <c r="AS46" s="42" t="s">
        <v>15</v>
      </c>
      <c r="AT46" s="7"/>
      <c r="AU46" s="41" t="e">
        <f>VLOOKUP(L26,$B$5:$C$10,2,FALSE)</f>
        <v>#N/A</v>
      </c>
      <c r="AV46" s="41" t="e">
        <f>VLOOKUP(M26,$B$5:$C$10,2,FALSE)</f>
        <v>#N/A</v>
      </c>
      <c r="AW46" s="42" t="s">
        <v>15</v>
      </c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</row>
    <row r="47" spans="2:71" ht="64.5" customHeight="1">
      <c r="B47" s="29"/>
      <c r="C47" s="7"/>
      <c r="D47" s="34" t="str">
        <f>$C$20</f>
        <v>B89690 - Oracle Consulting Rapid Start Service for Autonomous Data Warehouse Cloud</v>
      </c>
      <c r="E47" s="35">
        <f>G27</f>
        <v>0</v>
      </c>
      <c r="F47" s="35">
        <f>H27</f>
        <v>0</v>
      </c>
      <c r="G47" s="36"/>
      <c r="H47" s="35">
        <f>G27</f>
        <v>0</v>
      </c>
      <c r="I47" s="35">
        <f>H27</f>
        <v>0</v>
      </c>
      <c r="J47" s="37"/>
      <c r="K47" s="38">
        <f>F27</f>
        <v>0</v>
      </c>
      <c r="L47" s="32">
        <f>C27</f>
        <v>0</v>
      </c>
      <c r="M47" s="32">
        <f>D27</f>
        <v>0</v>
      </c>
      <c r="N47" s="7"/>
      <c r="O47" s="7"/>
      <c r="P47" s="7"/>
      <c r="Q47" s="31" t="s">
        <v>148</v>
      </c>
      <c r="R47" s="7"/>
      <c r="S47" s="7"/>
      <c r="T47" s="7"/>
      <c r="U47" s="7"/>
      <c r="V47" s="7"/>
      <c r="W47" s="7"/>
      <c r="X47" s="29" t="s">
        <v>150</v>
      </c>
      <c r="Y47" s="42" t="s">
        <v>15</v>
      </c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0">
        <f>I27</f>
        <v>0</v>
      </c>
      <c r="AK47" s="7"/>
      <c r="AL47" s="7"/>
      <c r="AM47" s="7"/>
      <c r="AN47" s="7"/>
      <c r="AO47" s="7"/>
      <c r="AP47" s="41">
        <f>B27</f>
        <v>0</v>
      </c>
      <c r="AQ47" s="7"/>
      <c r="AR47" s="42" t="s">
        <v>15</v>
      </c>
      <c r="AS47" s="42" t="s">
        <v>15</v>
      </c>
      <c r="AT47" s="7"/>
      <c r="AU47" s="41" t="e">
        <f>VLOOKUP(L27,$B$5:$C$10,2,FALSE)</f>
        <v>#N/A</v>
      </c>
      <c r="AV47" s="41" t="e">
        <f>VLOOKUP(M27,$B$5:$C$10,2,FALSE)</f>
        <v>#N/A</v>
      </c>
      <c r="AW47" s="42" t="s">
        <v>15</v>
      </c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</row>
    <row r="48" spans="2:71" ht="64.5" customHeight="1">
      <c r="B48" s="29"/>
      <c r="C48" s="7"/>
      <c r="D48" s="34" t="str">
        <f>$C$20</f>
        <v>B89690 - Oracle Consulting Rapid Start Service for Autonomous Data Warehouse Cloud</v>
      </c>
      <c r="E48" s="35">
        <f>G28</f>
        <v>0</v>
      </c>
      <c r="F48" s="35">
        <f>H28</f>
        <v>0</v>
      </c>
      <c r="G48" s="36"/>
      <c r="H48" s="35">
        <f>G28</f>
        <v>0</v>
      </c>
      <c r="I48" s="35">
        <f>H28</f>
        <v>0</v>
      </c>
      <c r="J48" s="37"/>
      <c r="K48" s="38">
        <f>F28</f>
        <v>0</v>
      </c>
      <c r="L48" s="32">
        <f>C28</f>
        <v>0</v>
      </c>
      <c r="M48" s="32">
        <f>D28</f>
        <v>0</v>
      </c>
      <c r="N48" s="7"/>
      <c r="O48" s="7"/>
      <c r="P48" s="7"/>
      <c r="Q48" s="31" t="s">
        <v>148</v>
      </c>
      <c r="R48" s="7"/>
      <c r="S48" s="7"/>
      <c r="T48" s="7"/>
      <c r="U48" s="7"/>
      <c r="V48" s="7"/>
      <c r="W48" s="7"/>
      <c r="X48" s="29" t="s">
        <v>150</v>
      </c>
      <c r="Y48" s="42" t="s">
        <v>15</v>
      </c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0">
        <f>I28</f>
        <v>0</v>
      </c>
      <c r="AK48" s="7"/>
      <c r="AL48" s="7"/>
      <c r="AM48" s="7"/>
      <c r="AN48" s="7"/>
      <c r="AO48" s="7"/>
      <c r="AP48" s="41">
        <f>B28</f>
        <v>0</v>
      </c>
      <c r="AQ48" s="7"/>
      <c r="AR48" s="42" t="s">
        <v>15</v>
      </c>
      <c r="AS48" s="42" t="s">
        <v>15</v>
      </c>
      <c r="AT48" s="7"/>
      <c r="AU48" s="41" t="e">
        <f>VLOOKUP(L28,$B$5:$C$10,2,FALSE)</f>
        <v>#N/A</v>
      </c>
      <c r="AV48" s="41" t="e">
        <f>VLOOKUP(M28,$B$5:$C$10,2,FALSE)</f>
        <v>#N/A</v>
      </c>
      <c r="AW48" s="42" t="s">
        <v>15</v>
      </c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</row>
    <row r="51" spans="1:19">
      <c r="B51" s="2" t="s">
        <v>151</v>
      </c>
    </row>
    <row r="52" spans="1:19">
      <c r="B52" s="28" t="s">
        <v>152</v>
      </c>
      <c r="C52" s="28" t="s">
        <v>153</v>
      </c>
      <c r="D52" s="28" t="s">
        <v>154</v>
      </c>
      <c r="E52" s="28" t="s">
        <v>155</v>
      </c>
      <c r="F52" s="28" t="s">
        <v>156</v>
      </c>
      <c r="G52" s="43"/>
    </row>
    <row r="53" spans="1:19">
      <c r="A53" s="44"/>
      <c r="B53" s="33">
        <f>B44</f>
        <v>0</v>
      </c>
      <c r="C53" s="45" t="str">
        <f>VLOOKUP(J24,B$64:C$66,2,FALSE)</f>
        <v>P1000446</v>
      </c>
      <c r="D53" s="45" t="str">
        <f>VLOOKUP(C53,B73:C74,2,FALSE)</f>
        <v>CC00506325</v>
      </c>
      <c r="E53" s="33" t="s">
        <v>157</v>
      </c>
      <c r="F53" s="7"/>
      <c r="G53" s="46"/>
    </row>
    <row r="54" spans="1:19">
      <c r="B54" s="33">
        <f>B45</f>
        <v>0</v>
      </c>
      <c r="C54" s="45" t="str">
        <f>VLOOKUP(J25,B$64:C$66,2,FALSE)</f>
        <v>P1000446</v>
      </c>
      <c r="D54" s="45" t="str">
        <f>VLOOKUP(C54,B74:C75,2,FALSE)</f>
        <v>CC00506325</v>
      </c>
      <c r="E54" s="33" t="s">
        <v>157</v>
      </c>
      <c r="F54" s="7"/>
      <c r="G54" s="46"/>
    </row>
    <row r="55" spans="1:19">
      <c r="A55" s="44"/>
      <c r="B55" s="33">
        <f>B46</f>
        <v>0</v>
      </c>
      <c r="C55" s="45" t="e">
        <f>VLOOKUP(J26,B$64:C$66,2,FALSE)</f>
        <v>#N/A</v>
      </c>
      <c r="D55" s="45" t="e">
        <f>VLOOKUP(C55,B75:C76,2,FALSE)</f>
        <v>#N/A</v>
      </c>
      <c r="E55" s="33" t="s">
        <v>157</v>
      </c>
      <c r="F55" s="7"/>
      <c r="G55" s="46"/>
    </row>
    <row r="56" spans="1:19">
      <c r="A56" s="44"/>
      <c r="B56" s="33">
        <f>B47</f>
        <v>0</v>
      </c>
      <c r="C56" s="45" t="e">
        <f>VLOOKUP(J27,B$64:C$66,2,FALSE)</f>
        <v>#N/A</v>
      </c>
      <c r="D56" s="45" t="e">
        <f>VLOOKUP(C56,B76:C77,2,FALSE)</f>
        <v>#N/A</v>
      </c>
      <c r="E56" s="33" t="s">
        <v>157</v>
      </c>
      <c r="F56" s="7"/>
      <c r="G56" s="46"/>
    </row>
    <row r="57" spans="1:19">
      <c r="A57" s="44"/>
      <c r="B57" s="33">
        <f>B48</f>
        <v>0</v>
      </c>
      <c r="C57" s="45" t="e">
        <f>VLOOKUP(J28,B$64:C$66,2,FALSE)</f>
        <v>#N/A</v>
      </c>
      <c r="D57" s="45" t="e">
        <f>VLOOKUP(C57,B77:C78,2,FALSE)</f>
        <v>#N/A</v>
      </c>
      <c r="E57" s="33" t="s">
        <v>157</v>
      </c>
      <c r="F57" s="7"/>
      <c r="G57" s="46"/>
    </row>
    <row r="60" spans="1:19">
      <c r="A60" s="1" t="s">
        <v>158</v>
      </c>
    </row>
    <row r="61" spans="1:19">
      <c r="A61" s="1" t="s">
        <v>159</v>
      </c>
    </row>
    <row r="62" spans="1:19">
      <c r="B62" s="2" t="s">
        <v>160</v>
      </c>
    </row>
    <row r="63" spans="1:19">
      <c r="B63" s="47" t="s">
        <v>161</v>
      </c>
      <c r="C63" s="47" t="s">
        <v>162</v>
      </c>
      <c r="D63" s="47" t="s">
        <v>163</v>
      </c>
      <c r="E63" s="47" t="s">
        <v>164</v>
      </c>
      <c r="F63" s="47" t="s">
        <v>165</v>
      </c>
      <c r="G63" s="47"/>
      <c r="H63" s="47" t="s">
        <v>166</v>
      </c>
      <c r="I63" s="47" t="s">
        <v>167</v>
      </c>
      <c r="J63" s="47" t="s">
        <v>168</v>
      </c>
      <c r="K63" s="47" t="s">
        <v>169</v>
      </c>
      <c r="L63" s="47" t="s">
        <v>170</v>
      </c>
      <c r="M63" s="47" t="s">
        <v>171</v>
      </c>
      <c r="N63" s="47" t="s">
        <v>172</v>
      </c>
      <c r="O63" s="47" t="s">
        <v>173</v>
      </c>
      <c r="P63" s="47" t="s">
        <v>174</v>
      </c>
      <c r="Q63" s="47" t="s">
        <v>6</v>
      </c>
      <c r="R63" s="47" t="s">
        <v>175</v>
      </c>
      <c r="S63" s="47" t="s">
        <v>128</v>
      </c>
    </row>
    <row r="64" spans="1:19" s="48" customFormat="1">
      <c r="B64" s="49" t="s">
        <v>176</v>
      </c>
      <c r="C64" s="49"/>
      <c r="D64" s="49" t="s">
        <v>177</v>
      </c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</row>
    <row r="65" spans="1:19" s="48" customFormat="1">
      <c r="B65" s="49" t="s">
        <v>178</v>
      </c>
      <c r="C65" s="49" t="s">
        <v>179</v>
      </c>
      <c r="D65" s="49" t="s">
        <v>177</v>
      </c>
      <c r="E65" s="49"/>
      <c r="F65" s="49" t="s">
        <v>180</v>
      </c>
      <c r="G65" s="49"/>
      <c r="H65" s="49" t="s">
        <v>21</v>
      </c>
      <c r="I65" s="49"/>
      <c r="J65" s="49"/>
      <c r="K65" s="49"/>
      <c r="L65" s="49" t="s">
        <v>181</v>
      </c>
      <c r="M65" s="49" t="s">
        <v>182</v>
      </c>
      <c r="N65" s="49" t="s">
        <v>183</v>
      </c>
      <c r="O65" s="49"/>
      <c r="P65" s="49"/>
      <c r="Q65" s="49" t="s">
        <v>184</v>
      </c>
      <c r="R65" s="49" t="s">
        <v>13</v>
      </c>
      <c r="S65" s="49" t="s">
        <v>185</v>
      </c>
    </row>
    <row r="68" spans="1:19"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</row>
    <row r="69" spans="1:19">
      <c r="A69" s="1" t="s">
        <v>186</v>
      </c>
    </row>
    <row r="70" spans="1:19">
      <c r="A70" s="1" t="s">
        <v>159</v>
      </c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</row>
    <row r="71" spans="1:19">
      <c r="B71" s="2" t="s">
        <v>187</v>
      </c>
    </row>
    <row r="72" spans="1:19">
      <c r="B72" s="47" t="s">
        <v>153</v>
      </c>
      <c r="C72" s="47" t="s">
        <v>188</v>
      </c>
      <c r="D72" s="47" t="s">
        <v>6</v>
      </c>
    </row>
    <row r="73" spans="1:19">
      <c r="B73" s="50" t="s">
        <v>183</v>
      </c>
      <c r="C73" s="50" t="s">
        <v>189</v>
      </c>
      <c r="D73" s="50"/>
    </row>
    <row r="74" spans="1:19">
      <c r="A74" s="51"/>
      <c r="B74" s="50" t="s">
        <v>183</v>
      </c>
      <c r="C74" s="50" t="s">
        <v>189</v>
      </c>
      <c r="D74" s="50"/>
    </row>
  </sheetData>
  <phoneticPr fontId="3"/>
  <pageMargins left="0.7" right="0.7" top="0.75" bottom="0.75" header="0.3" footer="0.3"/>
  <pageSetup paperSize="9" orientation="portrait" r:id="rId1"/>
  <legacyDrawing r:id="rId2"/>
  <controls>
    <control shapeId="1025" r:id="rId3" name="btnOppoInser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ダミーOpp登録依頼</vt:lpstr>
    </vt:vector>
  </TitlesOfParts>
  <Company>SonyEricsson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WANG</cp:lastModifiedBy>
  <dcterms:created xsi:type="dcterms:W3CDTF">2019-08-30T15:43:57Z</dcterms:created>
  <dcterms:modified xsi:type="dcterms:W3CDTF">2019-08-30T15:44:09Z</dcterms:modified>
</cp:coreProperties>
</file>